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maxis\OneDrive\Рабочий стол\Labs\CL\Laba2\"/>
    </mc:Choice>
  </mc:AlternateContent>
  <xr:revisionPtr revIDLastSave="0" documentId="13_ncr:1_{302F7D43-924A-4D4F-9003-ABFA034E7C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8" i="1" l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C34" i="1" s="1"/>
  <c r="C31" i="1" l="1"/>
  <c r="C35" i="1" s="1"/>
  <c r="D35" i="1" s="1"/>
  <c r="C32" i="1"/>
  <c r="D32" i="1" s="1"/>
  <c r="C33" i="1"/>
  <c r="D33" i="1" s="1"/>
  <c r="D34" i="1" l="1"/>
</calcChain>
</file>

<file path=xl/sharedStrings.xml><?xml version="1.0" encoding="utf-8"?>
<sst xmlns="http://schemas.openxmlformats.org/spreadsheetml/2006/main" count="432" uniqueCount="45">
  <si>
    <t>Имя студента</t>
  </si>
  <si>
    <t>Вариант</t>
  </si>
  <si>
    <t>Работа №1</t>
  </si>
  <si>
    <t>Работа №2</t>
  </si>
  <si>
    <t>Работа №3</t>
  </si>
  <si>
    <t>Работа №4</t>
  </si>
  <si>
    <t>Работа №5</t>
  </si>
  <si>
    <t>Работа №6</t>
  </si>
  <si>
    <t>Работа №7</t>
  </si>
  <si>
    <t>Теория</t>
  </si>
  <si>
    <t>Практика</t>
  </si>
  <si>
    <t>Отчет</t>
  </si>
  <si>
    <t>Всего сдано</t>
  </si>
  <si>
    <t>Александров Артём Владимирович</t>
  </si>
  <si>
    <t>+</t>
  </si>
  <si>
    <t>Банева Екатерина Михайловна</t>
  </si>
  <si>
    <t>Бартенев Андрей Александрович</t>
  </si>
  <si>
    <t>Библив Александр Игоревич</t>
  </si>
  <si>
    <t>Бледных Софья Алексеевна</t>
  </si>
  <si>
    <t>Браилко Александра Андреевна (Злой профорг)</t>
  </si>
  <si>
    <t xml:space="preserve">Бричин Егор Андреевич	</t>
  </si>
  <si>
    <t xml:space="preserve">Глухов Евгений Константинович	</t>
  </si>
  <si>
    <t>Колесников Степан Денисович</t>
  </si>
  <si>
    <t>Кузнецова Эмилия Александровна</t>
  </si>
  <si>
    <t xml:space="preserve">Михайлич Максим Игоревич	</t>
  </si>
  <si>
    <t xml:space="preserve">Прасолов Владислав Дмитриевич	</t>
  </si>
  <si>
    <t>Преображенская Яна Руслановна</t>
  </si>
  <si>
    <t>Пухонто Даниил Михайлович</t>
  </si>
  <si>
    <t xml:space="preserve">Пушилов Александр Дмитриевич	</t>
  </si>
  <si>
    <t>Рыбин Сергей Витальевич</t>
  </si>
  <si>
    <t>Салистов Михаил Александрович</t>
  </si>
  <si>
    <t xml:space="preserve">Самойлов Игорь Сергеевич	</t>
  </si>
  <si>
    <t>Сапожников Владислав Сергеевич</t>
  </si>
  <si>
    <t xml:space="preserve">Сергеев Иван Сергеевич	</t>
  </si>
  <si>
    <t>Сметанина Дарья Владиславовна</t>
  </si>
  <si>
    <t>Талалай Никита Олегович</t>
  </si>
  <si>
    <t>Фальчевский Константин Сергеевич</t>
  </si>
  <si>
    <t>Черных Владимир Владимирович</t>
  </si>
  <si>
    <t>Шанцев Арсений Валерьевич</t>
  </si>
  <si>
    <t>Шеенко Никита Алексеевич</t>
  </si>
  <si>
    <t>Всего студентов:</t>
  </si>
  <si>
    <t>Сдали всё</t>
  </si>
  <si>
    <t>Сдали, но не всё</t>
  </si>
  <si>
    <t>Не сдали ничего</t>
  </si>
  <si>
    <t>Сдали хоть что-то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</si>
</sst>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F4B183"/>
      </patternFill>
    </fill>
    <fill>
      <patternFill patternType="solid">
        <fgColor rgb="FFF8CBA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2" fillId="2" borderId="3" xfId="0" applyFont="1" applyFill="1" applyBorder="1" applyAlignment="1">
      <alignment horizontal="left"/>
    </xf>
    <xf numFmtId="3" fontId="3" fillId="3" borderId="3" xfId="0" applyNumberFormat="1" applyFont="1" applyFill="1" applyBorder="1" applyAlignment="1">
      <alignment horizontal="center"/>
    </xf>
    <xf numFmtId="3" fontId="3" fillId="4" borderId="3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3" fillId="3" borderId="4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right"/>
    </xf>
    <xf numFmtId="164" fontId="3" fillId="3" borderId="4" xfId="0" applyNumberFormat="1" applyFont="1" applyFill="1" applyBorder="1" applyAlignment="1">
      <alignment horizontal="left"/>
    </xf>
    <xf numFmtId="164" fontId="3" fillId="3" borderId="4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Сдали всё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DE-425D-B477-DE7CAAC3EC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CF1-4C95-8846-F2614615F0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Лист1!$B$32:$B$33</c:f>
              <c:strCache>
                <c:ptCount val="2"/>
                <c:pt idx="0">
                  <c:v>Сдали всё</c:v>
                </c:pt>
                <c:pt idx="1">
                  <c:v>Сдали, но не всё</c:v>
                </c:pt>
              </c:strCache>
            </c:strRef>
          </c:cat>
          <c:val>
            <c:numRef>
              <c:f>Лист1!$C$32:$C$33</c:f>
              <c:numCache>
                <c:formatCode>#,##0</c:formatCode>
                <c:ptCount val="2"/>
                <c:pt idx="0">
                  <c:v>7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E-425D-B477-DE7CAAC3EC1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Не сдали  ничего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985627734033246"/>
          <c:y val="0.27298665791776028"/>
          <c:w val="0.40287467191601051"/>
          <c:h val="0.67145778652668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EE6-4A1A-A005-AD5026F984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E6-4A1A-A005-AD5026F984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Лист1!$B$34:$B$35</c:f>
              <c:strCache>
                <c:ptCount val="2"/>
                <c:pt idx="0">
                  <c:v>Не сдали ничего</c:v>
                </c:pt>
                <c:pt idx="1">
                  <c:v>Сдали хоть что-то</c:v>
                </c:pt>
              </c:strCache>
            </c:strRef>
          </c:cat>
          <c:val>
            <c:numRef>
              <c:f>Лист1!$C$34:$C$35</c:f>
              <c:numCache>
                <c:formatCode>#,##0</c:formatCode>
                <c:ptCount val="2"/>
                <c:pt idx="0">
                  <c:v>6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6-4A1A-A005-AD5026F984B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29</xdr:row>
      <xdr:rowOff>227104</xdr:rowOff>
    </xdr:from>
    <xdr:to>
      <xdr:col>9</xdr:col>
      <xdr:colOff>896471</xdr:colOff>
      <xdr:row>43</xdr:row>
      <xdr:rowOff>170328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A3649D7-7720-AD6B-B57D-9E46576F5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909917</xdr:colOff>
      <xdr:row>29</xdr:row>
      <xdr:rowOff>233081</xdr:rowOff>
    </xdr:from>
    <xdr:to>
      <xdr:col>15</xdr:col>
      <xdr:colOff>914400</xdr:colOff>
      <xdr:row>44</xdr:row>
      <xdr:rowOff>17930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4012970-F528-9E4F-B121-17A9616E4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35"/>
  <sheetViews>
    <sheetView tabSelected="1" topLeftCell="A2" zoomScale="67" workbookViewId="0">
      <selection activeCell="X3" sqref="X3"/>
    </sheetView>
  </sheetViews>
  <sheetFormatPr defaultRowHeight="14.4" x14ac:dyDescent="0.3"/>
  <cols>
    <col min="1" max="1" width="44.44140625" bestFit="1" customWidth="1"/>
    <col min="2" max="2" width="22.5546875" style="11" bestFit="1" customWidth="1"/>
    <col min="3" max="3" width="13.5546875" style="12" bestFit="1" customWidth="1"/>
    <col min="4" max="4" width="13.5546875" style="13" bestFit="1" customWidth="1"/>
    <col min="5" max="23" width="13.5546875" bestFit="1" customWidth="1"/>
    <col min="24" max="24" width="18.33203125" style="4" bestFit="1" customWidth="1"/>
  </cols>
  <sheetData>
    <row r="1" spans="1:24" ht="18.75" customHeight="1" x14ac:dyDescent="0.3">
      <c r="A1" s="19" t="s">
        <v>0</v>
      </c>
      <c r="B1" s="21" t="s">
        <v>1</v>
      </c>
      <c r="C1" s="22" t="s">
        <v>2</v>
      </c>
      <c r="D1" s="23"/>
      <c r="E1" s="18"/>
      <c r="F1" s="18" t="s">
        <v>3</v>
      </c>
      <c r="G1" s="18"/>
      <c r="H1" s="18"/>
      <c r="I1" s="18" t="s">
        <v>4</v>
      </c>
      <c r="J1" s="18"/>
      <c r="K1" s="18"/>
      <c r="L1" s="18" t="s">
        <v>5</v>
      </c>
      <c r="M1" s="18"/>
      <c r="N1" s="18"/>
      <c r="O1" s="18" t="s">
        <v>6</v>
      </c>
      <c r="P1" s="18"/>
      <c r="Q1" s="18"/>
      <c r="R1" s="18" t="s">
        <v>7</v>
      </c>
      <c r="S1" s="18"/>
      <c r="T1" s="18"/>
      <c r="U1" s="18" t="s">
        <v>8</v>
      </c>
      <c r="V1" s="18"/>
      <c r="W1" s="18"/>
    </row>
    <row r="2" spans="1:24" ht="18.75" customHeight="1" x14ac:dyDescent="0.3">
      <c r="A2" s="20"/>
      <c r="B2" s="22"/>
      <c r="C2" s="1" t="s">
        <v>9</v>
      </c>
      <c r="D2" s="2" t="s">
        <v>10</v>
      </c>
      <c r="E2" s="3" t="s">
        <v>11</v>
      </c>
      <c r="F2" s="3" t="s">
        <v>9</v>
      </c>
      <c r="G2" s="3" t="s">
        <v>10</v>
      </c>
      <c r="H2" s="3" t="s">
        <v>11</v>
      </c>
      <c r="I2" s="3" t="s">
        <v>9</v>
      </c>
      <c r="J2" s="3" t="s">
        <v>10</v>
      </c>
      <c r="K2" s="3" t="s">
        <v>11</v>
      </c>
      <c r="L2" s="3" t="s">
        <v>9</v>
      </c>
      <c r="M2" s="3" t="s">
        <v>10</v>
      </c>
      <c r="N2" s="3" t="s">
        <v>11</v>
      </c>
      <c r="O2" s="3" t="s">
        <v>9</v>
      </c>
      <c r="P2" s="3" t="s">
        <v>10</v>
      </c>
      <c r="Q2" s="3" t="s">
        <v>11</v>
      </c>
      <c r="R2" s="3" t="s">
        <v>9</v>
      </c>
      <c r="S2" s="3" t="s">
        <v>10</v>
      </c>
      <c r="T2" s="3" t="s">
        <v>11</v>
      </c>
      <c r="U2" s="3" t="s">
        <v>9</v>
      </c>
      <c r="V2" s="3" t="s">
        <v>10</v>
      </c>
      <c r="W2" s="3" t="s">
        <v>11</v>
      </c>
      <c r="X2" s="1" t="s">
        <v>12</v>
      </c>
    </row>
    <row r="3" spans="1:24" ht="19.5" customHeight="1" x14ac:dyDescent="0.3">
      <c r="A3" s="5" t="s">
        <v>13</v>
      </c>
      <c r="B3" s="6">
        <v>4</v>
      </c>
      <c r="C3" s="7" t="s">
        <v>14</v>
      </c>
      <c r="D3" s="8" t="s">
        <v>14</v>
      </c>
      <c r="E3" s="9" t="s">
        <v>14</v>
      </c>
      <c r="F3" s="9" t="s">
        <v>14</v>
      </c>
      <c r="G3" s="9" t="s">
        <v>14</v>
      </c>
      <c r="H3" s="9" t="s">
        <v>14</v>
      </c>
      <c r="I3" s="9" t="s">
        <v>14</v>
      </c>
      <c r="J3" s="9" t="s">
        <v>14</v>
      </c>
      <c r="K3" s="9" t="s">
        <v>14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>
        <f t="shared" ref="X3:X28" si="0">SUM(IF(COUNTIF(C3:E3,"+") = 3, 1, 0),IF(COUNTIF(F3:H3,"+") = 3, 1, 0),IF(COUNTIF(I3:K3,"+") = 3, 1, 0),IF(COUNTIF(L3:N3,"+") = 3, 1, 0),IF(COUNTIF(O3:Q3,"+") = 3, 1, 0),IF(COUNTIF(R3:T3,"+") = 3, 1, 0),IF(COUNTIF(U3:W3,"+") = 3, 1, 0))</f>
        <v>3</v>
      </c>
    </row>
    <row r="4" spans="1:24" ht="19.5" customHeight="1" x14ac:dyDescent="0.3">
      <c r="A4" s="5" t="s">
        <v>15</v>
      </c>
      <c r="B4" s="6">
        <v>2</v>
      </c>
      <c r="C4" s="7"/>
      <c r="D4" s="8" t="s">
        <v>14</v>
      </c>
      <c r="E4" s="9" t="s">
        <v>14</v>
      </c>
      <c r="F4" s="9" t="s">
        <v>14</v>
      </c>
      <c r="G4" s="9" t="s">
        <v>14</v>
      </c>
      <c r="H4" s="9" t="s">
        <v>14</v>
      </c>
      <c r="I4" s="9" t="s">
        <v>14</v>
      </c>
      <c r="J4" s="9" t="s">
        <v>14</v>
      </c>
      <c r="K4" s="9" t="s">
        <v>14</v>
      </c>
      <c r="L4" s="9" t="s">
        <v>14</v>
      </c>
      <c r="M4" s="9" t="s">
        <v>14</v>
      </c>
      <c r="N4" s="9" t="s">
        <v>14</v>
      </c>
      <c r="O4" s="9" t="s">
        <v>14</v>
      </c>
      <c r="P4" s="9"/>
      <c r="Q4" s="9"/>
      <c r="R4" s="9"/>
      <c r="S4" s="9"/>
      <c r="T4" s="9"/>
      <c r="U4" s="9"/>
      <c r="V4" s="9"/>
      <c r="W4" s="9"/>
      <c r="X4" s="10">
        <f t="shared" si="0"/>
        <v>3</v>
      </c>
    </row>
    <row r="5" spans="1:24" ht="19.5" customHeight="1" x14ac:dyDescent="0.3">
      <c r="A5" s="5" t="s">
        <v>16</v>
      </c>
      <c r="B5" s="6">
        <v>3</v>
      </c>
      <c r="C5" s="7"/>
      <c r="D5" s="8" t="s">
        <v>14</v>
      </c>
      <c r="E5" s="9" t="s">
        <v>14</v>
      </c>
      <c r="F5" s="9" t="s">
        <v>14</v>
      </c>
      <c r="G5" s="9" t="s">
        <v>14</v>
      </c>
      <c r="H5" s="9" t="s">
        <v>14</v>
      </c>
      <c r="I5" s="9" t="s">
        <v>14</v>
      </c>
      <c r="J5" s="9" t="s">
        <v>14</v>
      </c>
      <c r="K5" s="9" t="s">
        <v>14</v>
      </c>
      <c r="L5" s="9" t="s">
        <v>14</v>
      </c>
      <c r="M5" s="9" t="s">
        <v>14</v>
      </c>
      <c r="N5" s="9" t="s">
        <v>14</v>
      </c>
      <c r="O5" s="9" t="s">
        <v>14</v>
      </c>
      <c r="P5" s="9"/>
      <c r="Q5" s="9"/>
      <c r="R5" s="9"/>
      <c r="S5" s="9"/>
      <c r="T5" s="9"/>
      <c r="U5" s="9"/>
      <c r="V5" s="9"/>
      <c r="W5" s="9"/>
      <c r="X5" s="10">
        <f t="shared" si="0"/>
        <v>3</v>
      </c>
    </row>
    <row r="6" spans="1:24" ht="19.5" customHeight="1" x14ac:dyDescent="0.3">
      <c r="A6" s="5" t="s">
        <v>17</v>
      </c>
      <c r="B6" s="6">
        <v>4</v>
      </c>
      <c r="C6" s="7"/>
      <c r="D6" s="8" t="s">
        <v>14</v>
      </c>
      <c r="E6" s="9" t="s">
        <v>14</v>
      </c>
      <c r="F6" s="9" t="s">
        <v>14</v>
      </c>
      <c r="G6" s="9" t="s">
        <v>14</v>
      </c>
      <c r="H6" s="9" t="s">
        <v>14</v>
      </c>
      <c r="I6" s="9" t="s">
        <v>14</v>
      </c>
      <c r="J6" s="9" t="s">
        <v>14</v>
      </c>
      <c r="K6" s="9" t="s">
        <v>14</v>
      </c>
      <c r="L6" s="9" t="s">
        <v>14</v>
      </c>
      <c r="M6" s="9" t="s">
        <v>14</v>
      </c>
      <c r="N6" s="9" t="s">
        <v>14</v>
      </c>
      <c r="O6" s="9" t="s">
        <v>14</v>
      </c>
      <c r="P6" s="9" t="s">
        <v>14</v>
      </c>
      <c r="Q6" s="9" t="s">
        <v>14</v>
      </c>
      <c r="R6" s="9" t="s">
        <v>14</v>
      </c>
      <c r="S6" s="9"/>
      <c r="T6" s="9"/>
      <c r="U6" s="9"/>
      <c r="V6" s="9"/>
      <c r="W6" s="9"/>
      <c r="X6" s="10">
        <f t="shared" si="0"/>
        <v>4</v>
      </c>
    </row>
    <row r="7" spans="1:24" ht="19.5" customHeight="1" x14ac:dyDescent="0.3">
      <c r="A7" s="5" t="s">
        <v>18</v>
      </c>
      <c r="B7" s="6">
        <v>2</v>
      </c>
      <c r="C7" s="7"/>
      <c r="D7" s="8" t="s">
        <v>14</v>
      </c>
      <c r="E7" s="9" t="s">
        <v>14</v>
      </c>
      <c r="F7" s="9" t="s">
        <v>14</v>
      </c>
      <c r="G7" s="9" t="s">
        <v>14</v>
      </c>
      <c r="H7" s="9" t="s">
        <v>14</v>
      </c>
      <c r="I7" s="9" t="s">
        <v>14</v>
      </c>
      <c r="J7" s="9" t="s">
        <v>14</v>
      </c>
      <c r="K7" s="9" t="s">
        <v>14</v>
      </c>
      <c r="L7" s="9" t="s">
        <v>14</v>
      </c>
      <c r="M7" s="9" t="s">
        <v>14</v>
      </c>
      <c r="N7" s="9" t="s">
        <v>14</v>
      </c>
      <c r="O7" s="9" t="s">
        <v>14</v>
      </c>
      <c r="P7" s="9"/>
      <c r="Q7" s="9" t="s">
        <v>14</v>
      </c>
      <c r="R7" s="9"/>
      <c r="S7" s="9"/>
      <c r="T7" s="9"/>
      <c r="U7" s="9"/>
      <c r="V7" s="9"/>
      <c r="W7" s="9"/>
      <c r="X7" s="10">
        <f t="shared" si="0"/>
        <v>3</v>
      </c>
    </row>
    <row r="8" spans="1:24" ht="19.5" customHeight="1" x14ac:dyDescent="0.3">
      <c r="A8" s="5" t="s">
        <v>19</v>
      </c>
      <c r="B8" s="6">
        <v>1</v>
      </c>
      <c r="C8" s="7"/>
      <c r="D8" s="8" t="s">
        <v>14</v>
      </c>
      <c r="E8" s="9" t="s">
        <v>14</v>
      </c>
      <c r="F8" s="9" t="s">
        <v>14</v>
      </c>
      <c r="G8" s="9" t="s">
        <v>14</v>
      </c>
      <c r="H8" s="9" t="s">
        <v>14</v>
      </c>
      <c r="I8" s="9" t="s">
        <v>14</v>
      </c>
      <c r="J8" s="9" t="s">
        <v>14</v>
      </c>
      <c r="K8" s="9" t="s">
        <v>14</v>
      </c>
      <c r="L8" s="9" t="s">
        <v>14</v>
      </c>
      <c r="M8" s="9" t="s">
        <v>14</v>
      </c>
      <c r="N8" s="9" t="s">
        <v>14</v>
      </c>
      <c r="O8" s="9" t="s">
        <v>14</v>
      </c>
      <c r="P8" s="9"/>
      <c r="Q8" s="9" t="s">
        <v>14</v>
      </c>
      <c r="R8" s="9"/>
      <c r="S8" s="9"/>
      <c r="T8" s="9"/>
      <c r="U8" s="9"/>
      <c r="V8" s="9"/>
      <c r="W8" s="9"/>
      <c r="X8" s="10">
        <f t="shared" si="0"/>
        <v>3</v>
      </c>
    </row>
    <row r="9" spans="1:24" ht="19.5" customHeight="1" x14ac:dyDescent="0.3">
      <c r="A9" s="5" t="s">
        <v>20</v>
      </c>
      <c r="B9" s="6">
        <v>5</v>
      </c>
      <c r="C9" s="7" t="s">
        <v>14</v>
      </c>
      <c r="D9" s="8" t="s">
        <v>14</v>
      </c>
      <c r="E9" s="9" t="s">
        <v>14</v>
      </c>
      <c r="F9" s="9" t="s">
        <v>14</v>
      </c>
      <c r="G9" s="9" t="s">
        <v>14</v>
      </c>
      <c r="H9" s="9" t="s">
        <v>14</v>
      </c>
      <c r="I9" s="9" t="s">
        <v>14</v>
      </c>
      <c r="J9" s="9" t="s">
        <v>14</v>
      </c>
      <c r="K9" s="9" t="s">
        <v>14</v>
      </c>
      <c r="L9" s="9" t="s">
        <v>14</v>
      </c>
      <c r="M9" s="9" t="s">
        <v>14</v>
      </c>
      <c r="N9" s="9" t="s">
        <v>14</v>
      </c>
      <c r="O9" s="9" t="s">
        <v>14</v>
      </c>
      <c r="P9" s="9" t="s">
        <v>14</v>
      </c>
      <c r="Q9" s="9" t="s">
        <v>14</v>
      </c>
      <c r="R9" s="9" t="s">
        <v>14</v>
      </c>
      <c r="S9" s="9" t="s">
        <v>14</v>
      </c>
      <c r="T9" s="9" t="s">
        <v>14</v>
      </c>
      <c r="U9" s="9" t="s">
        <v>14</v>
      </c>
      <c r="V9" s="9" t="s">
        <v>14</v>
      </c>
      <c r="W9" s="9" t="s">
        <v>14</v>
      </c>
      <c r="X9" s="10">
        <f t="shared" si="0"/>
        <v>7</v>
      </c>
    </row>
    <row r="10" spans="1:24" ht="19.5" customHeight="1" x14ac:dyDescent="0.3">
      <c r="A10" s="5" t="s">
        <v>21</v>
      </c>
      <c r="B10" s="6">
        <v>4</v>
      </c>
      <c r="C10" s="7" t="s">
        <v>14</v>
      </c>
      <c r="D10" s="8" t="s">
        <v>14</v>
      </c>
      <c r="E10" s="9" t="s">
        <v>14</v>
      </c>
      <c r="F10" s="9" t="s">
        <v>14</v>
      </c>
      <c r="G10" s="9" t="s">
        <v>14</v>
      </c>
      <c r="H10" s="9" t="s">
        <v>14</v>
      </c>
      <c r="I10" s="9" t="s">
        <v>14</v>
      </c>
      <c r="J10" s="9" t="s">
        <v>14</v>
      </c>
      <c r="K10" s="9" t="s">
        <v>14</v>
      </c>
      <c r="L10" s="9" t="s">
        <v>14</v>
      </c>
      <c r="M10" s="9" t="s">
        <v>14</v>
      </c>
      <c r="N10" s="9" t="s">
        <v>14</v>
      </c>
      <c r="O10" s="9" t="s">
        <v>14</v>
      </c>
      <c r="P10" s="9" t="s">
        <v>14</v>
      </c>
      <c r="Q10" s="9" t="s">
        <v>14</v>
      </c>
      <c r="R10" s="9" t="s">
        <v>14</v>
      </c>
      <c r="S10" s="9" t="s">
        <v>14</v>
      </c>
      <c r="T10" s="9" t="s">
        <v>14</v>
      </c>
      <c r="U10" s="9" t="s">
        <v>14</v>
      </c>
      <c r="V10" s="9" t="s">
        <v>14</v>
      </c>
      <c r="W10" s="9" t="s">
        <v>14</v>
      </c>
      <c r="X10" s="10">
        <f t="shared" si="0"/>
        <v>7</v>
      </c>
    </row>
    <row r="11" spans="1:24" ht="19.5" customHeight="1" x14ac:dyDescent="0.3">
      <c r="A11" s="5" t="s">
        <v>22</v>
      </c>
      <c r="B11" s="6">
        <v>3</v>
      </c>
      <c r="C11" s="7" t="s">
        <v>14</v>
      </c>
      <c r="D11" s="8" t="s">
        <v>14</v>
      </c>
      <c r="E11" s="9" t="s">
        <v>14</v>
      </c>
      <c r="F11" s="9" t="s">
        <v>14</v>
      </c>
      <c r="G11" s="9" t="s">
        <v>14</v>
      </c>
      <c r="H11" s="9" t="s">
        <v>14</v>
      </c>
      <c r="I11" s="9" t="s">
        <v>14</v>
      </c>
      <c r="J11" s="9" t="s">
        <v>14</v>
      </c>
      <c r="K11" s="9" t="s">
        <v>14</v>
      </c>
      <c r="L11" s="9" t="s">
        <v>14</v>
      </c>
      <c r="M11" s="9" t="s">
        <v>14</v>
      </c>
      <c r="N11" s="9" t="s">
        <v>14</v>
      </c>
      <c r="O11" s="9" t="s">
        <v>14</v>
      </c>
      <c r="P11" s="9" t="s">
        <v>14</v>
      </c>
      <c r="Q11" s="9" t="s">
        <v>14</v>
      </c>
      <c r="R11" s="9" t="s">
        <v>14</v>
      </c>
      <c r="S11" s="9" t="s">
        <v>14</v>
      </c>
      <c r="T11" s="9" t="s">
        <v>14</v>
      </c>
      <c r="U11" s="9" t="s">
        <v>14</v>
      </c>
      <c r="V11" s="9" t="s">
        <v>14</v>
      </c>
      <c r="W11" s="9" t="s">
        <v>14</v>
      </c>
      <c r="X11" s="10">
        <f t="shared" si="0"/>
        <v>7</v>
      </c>
    </row>
    <row r="12" spans="1:24" ht="19.5" customHeight="1" x14ac:dyDescent="0.3">
      <c r="A12" s="5" t="s">
        <v>23</v>
      </c>
      <c r="B12" s="6">
        <v>2</v>
      </c>
      <c r="C12" s="7" t="s">
        <v>14</v>
      </c>
      <c r="D12" s="8" t="s">
        <v>14</v>
      </c>
      <c r="E12" s="9" t="s">
        <v>14</v>
      </c>
      <c r="F12" s="9" t="s">
        <v>14</v>
      </c>
      <c r="G12" s="9" t="s">
        <v>14</v>
      </c>
      <c r="H12" s="9" t="s">
        <v>14</v>
      </c>
      <c r="I12" s="9" t="s">
        <v>14</v>
      </c>
      <c r="J12" s="9" t="s">
        <v>14</v>
      </c>
      <c r="K12" s="9" t="s">
        <v>14</v>
      </c>
      <c r="L12" s="9" t="s">
        <v>14</v>
      </c>
      <c r="M12" s="9" t="s">
        <v>14</v>
      </c>
      <c r="N12" s="9" t="s">
        <v>14</v>
      </c>
      <c r="O12" s="9" t="s">
        <v>14</v>
      </c>
      <c r="P12" s="9" t="s">
        <v>14</v>
      </c>
      <c r="Q12" s="9" t="s">
        <v>14</v>
      </c>
      <c r="R12" s="9" t="s">
        <v>14</v>
      </c>
      <c r="S12" s="9" t="s">
        <v>14</v>
      </c>
      <c r="T12" s="9" t="s">
        <v>14</v>
      </c>
      <c r="U12" s="9" t="s">
        <v>14</v>
      </c>
      <c r="V12" s="9" t="s">
        <v>14</v>
      </c>
      <c r="W12" s="9" t="s">
        <v>14</v>
      </c>
      <c r="X12" s="10">
        <f t="shared" si="0"/>
        <v>7</v>
      </c>
    </row>
    <row r="13" spans="1:24" ht="19.5" customHeight="1" x14ac:dyDescent="0.3">
      <c r="A13" s="5" t="s">
        <v>24</v>
      </c>
      <c r="B13" s="6">
        <v>4</v>
      </c>
      <c r="C13" s="7" t="s">
        <v>14</v>
      </c>
      <c r="D13" s="8" t="s">
        <v>14</v>
      </c>
      <c r="E13" s="9" t="s">
        <v>14</v>
      </c>
      <c r="F13" s="9" t="s">
        <v>14</v>
      </c>
      <c r="G13" s="9" t="s">
        <v>14</v>
      </c>
      <c r="H13" s="9" t="s">
        <v>14</v>
      </c>
      <c r="I13" s="9" t="s">
        <v>14</v>
      </c>
      <c r="J13" s="9" t="s">
        <v>14</v>
      </c>
      <c r="K13" s="9" t="s">
        <v>14</v>
      </c>
      <c r="L13" s="9" t="s">
        <v>14</v>
      </c>
      <c r="M13" s="9" t="s">
        <v>14</v>
      </c>
      <c r="N13" s="9" t="s">
        <v>14</v>
      </c>
      <c r="O13" s="9" t="s">
        <v>14</v>
      </c>
      <c r="P13" s="9" t="s">
        <v>14</v>
      </c>
      <c r="Q13" s="9" t="s">
        <v>14</v>
      </c>
      <c r="R13" s="9" t="s">
        <v>14</v>
      </c>
      <c r="S13" s="9" t="s">
        <v>14</v>
      </c>
      <c r="T13" s="9" t="s">
        <v>14</v>
      </c>
      <c r="U13" s="9" t="s">
        <v>14</v>
      </c>
      <c r="V13" s="9" t="s">
        <v>14</v>
      </c>
      <c r="W13" s="9" t="s">
        <v>14</v>
      </c>
      <c r="X13" s="10">
        <f t="shared" si="0"/>
        <v>7</v>
      </c>
    </row>
    <row r="14" spans="1:24" ht="18.75" customHeight="1" x14ac:dyDescent="0.3">
      <c r="A14" s="5" t="s">
        <v>25</v>
      </c>
      <c r="B14" s="6">
        <v>1</v>
      </c>
      <c r="C14" s="7" t="s">
        <v>14</v>
      </c>
      <c r="D14" s="8" t="s">
        <v>14</v>
      </c>
      <c r="E14" s="9" t="s">
        <v>14</v>
      </c>
      <c r="F14" s="9" t="s">
        <v>14</v>
      </c>
      <c r="G14" s="9" t="s">
        <v>14</v>
      </c>
      <c r="H14" s="9" t="s">
        <v>14</v>
      </c>
      <c r="I14" s="9" t="s">
        <v>14</v>
      </c>
      <c r="J14" s="9" t="s">
        <v>14</v>
      </c>
      <c r="K14" s="9" t="s">
        <v>14</v>
      </c>
      <c r="L14" s="9" t="s">
        <v>14</v>
      </c>
      <c r="M14" s="9" t="s">
        <v>14</v>
      </c>
      <c r="N14" s="9" t="s">
        <v>14</v>
      </c>
      <c r="O14" s="9" t="s">
        <v>14</v>
      </c>
      <c r="P14" s="9" t="s">
        <v>14</v>
      </c>
      <c r="Q14" s="9" t="s">
        <v>14</v>
      </c>
      <c r="R14" s="9" t="s">
        <v>14</v>
      </c>
      <c r="S14" s="9" t="s">
        <v>14</v>
      </c>
      <c r="T14" s="9" t="s">
        <v>14</v>
      </c>
      <c r="U14" s="9" t="s">
        <v>14</v>
      </c>
      <c r="V14" s="9" t="s">
        <v>14</v>
      </c>
      <c r="W14" s="9" t="s">
        <v>14</v>
      </c>
      <c r="X14" s="10">
        <f t="shared" si="0"/>
        <v>7</v>
      </c>
    </row>
    <row r="15" spans="1:24" ht="18.75" customHeight="1" x14ac:dyDescent="0.3">
      <c r="A15" s="5" t="s">
        <v>26</v>
      </c>
      <c r="B15" s="6">
        <v>3</v>
      </c>
      <c r="C15" s="7"/>
      <c r="D15" s="8" t="s">
        <v>14</v>
      </c>
      <c r="E15" s="9" t="s">
        <v>14</v>
      </c>
      <c r="F15" s="9" t="s">
        <v>14</v>
      </c>
      <c r="G15" s="9" t="s">
        <v>14</v>
      </c>
      <c r="H15" s="9" t="s">
        <v>14</v>
      </c>
      <c r="I15" s="9" t="s">
        <v>14</v>
      </c>
      <c r="J15" s="9" t="s">
        <v>14</v>
      </c>
      <c r="K15" s="9" t="s">
        <v>14</v>
      </c>
      <c r="L15" s="9" t="s">
        <v>14</v>
      </c>
      <c r="M15" s="9" t="s">
        <v>14</v>
      </c>
      <c r="N15" s="9" t="s">
        <v>14</v>
      </c>
      <c r="O15" s="9" t="s">
        <v>14</v>
      </c>
      <c r="P15" s="9" t="s">
        <v>14</v>
      </c>
      <c r="Q15" s="9" t="s">
        <v>14</v>
      </c>
      <c r="R15" s="9" t="s">
        <v>14</v>
      </c>
      <c r="S15" s="9" t="s">
        <v>14</v>
      </c>
      <c r="T15" s="9" t="s">
        <v>14</v>
      </c>
      <c r="U15" s="9" t="s">
        <v>14</v>
      </c>
      <c r="V15" s="9" t="s">
        <v>14</v>
      </c>
      <c r="W15" s="9" t="s">
        <v>14</v>
      </c>
      <c r="X15" s="10">
        <f t="shared" si="0"/>
        <v>6</v>
      </c>
    </row>
    <row r="16" spans="1:24" ht="18.75" customHeight="1" x14ac:dyDescent="0.3">
      <c r="A16" s="5" t="s">
        <v>27</v>
      </c>
      <c r="B16" s="6">
        <v>2</v>
      </c>
      <c r="C16" s="7"/>
      <c r="D16" s="8" t="s">
        <v>14</v>
      </c>
      <c r="E16" s="9" t="s">
        <v>14</v>
      </c>
      <c r="F16" s="9" t="s">
        <v>14</v>
      </c>
      <c r="G16" s="9" t="s">
        <v>14</v>
      </c>
      <c r="H16" s="9" t="s">
        <v>14</v>
      </c>
      <c r="I16" s="9" t="s">
        <v>14</v>
      </c>
      <c r="J16" s="9" t="s">
        <v>14</v>
      </c>
      <c r="K16" s="9" t="s">
        <v>14</v>
      </c>
      <c r="L16" s="9" t="s">
        <v>14</v>
      </c>
      <c r="M16" s="9" t="s">
        <v>14</v>
      </c>
      <c r="N16" s="9" t="s">
        <v>14</v>
      </c>
      <c r="O16" s="9" t="s">
        <v>14</v>
      </c>
      <c r="P16" s="9" t="s">
        <v>14</v>
      </c>
      <c r="Q16" s="9" t="s">
        <v>14</v>
      </c>
      <c r="R16" s="9" t="s">
        <v>14</v>
      </c>
      <c r="S16" s="9" t="s">
        <v>14</v>
      </c>
      <c r="T16" s="9" t="s">
        <v>14</v>
      </c>
      <c r="U16" s="9" t="s">
        <v>14</v>
      </c>
      <c r="V16" s="9" t="s">
        <v>14</v>
      </c>
      <c r="W16" s="9" t="s">
        <v>14</v>
      </c>
      <c r="X16" s="10">
        <f t="shared" si="0"/>
        <v>6</v>
      </c>
    </row>
    <row r="17" spans="1:24" ht="18.75" customHeight="1" x14ac:dyDescent="0.3">
      <c r="A17" s="5" t="s">
        <v>28</v>
      </c>
      <c r="B17" s="6">
        <v>2</v>
      </c>
      <c r="C17" s="7"/>
      <c r="D17" s="8" t="s">
        <v>14</v>
      </c>
      <c r="E17" s="9" t="s">
        <v>14</v>
      </c>
      <c r="F17" s="9" t="s">
        <v>14</v>
      </c>
      <c r="G17" s="9" t="s">
        <v>14</v>
      </c>
      <c r="H17" s="9" t="s">
        <v>14</v>
      </c>
      <c r="I17" s="9" t="s">
        <v>14</v>
      </c>
      <c r="J17" s="9" t="s">
        <v>14</v>
      </c>
      <c r="K17" s="9" t="s">
        <v>14</v>
      </c>
      <c r="L17" s="9" t="s">
        <v>14</v>
      </c>
      <c r="M17" s="9" t="s">
        <v>14</v>
      </c>
      <c r="N17" s="9" t="s">
        <v>14</v>
      </c>
      <c r="O17" s="9" t="s">
        <v>14</v>
      </c>
      <c r="P17" s="9" t="s">
        <v>14</v>
      </c>
      <c r="Q17" s="9" t="s">
        <v>14</v>
      </c>
      <c r="R17" s="9" t="s">
        <v>14</v>
      </c>
      <c r="S17" s="9" t="s">
        <v>14</v>
      </c>
      <c r="T17" s="9" t="s">
        <v>14</v>
      </c>
      <c r="U17" s="9" t="s">
        <v>14</v>
      </c>
      <c r="V17" s="9" t="s">
        <v>14</v>
      </c>
      <c r="W17" s="9" t="s">
        <v>14</v>
      </c>
      <c r="X17" s="10">
        <f t="shared" si="0"/>
        <v>6</v>
      </c>
    </row>
    <row r="18" spans="1:24" ht="18.75" customHeight="1" x14ac:dyDescent="0.3">
      <c r="A18" s="5" t="s">
        <v>29</v>
      </c>
      <c r="B18" s="6">
        <v>5</v>
      </c>
      <c r="C18" s="7"/>
      <c r="D18" s="8" t="s">
        <v>14</v>
      </c>
      <c r="E18" s="9" t="s">
        <v>14</v>
      </c>
      <c r="F18" s="9" t="s">
        <v>14</v>
      </c>
      <c r="G18" s="9" t="s">
        <v>14</v>
      </c>
      <c r="H18" s="9" t="s">
        <v>14</v>
      </c>
      <c r="I18" s="9" t="s">
        <v>14</v>
      </c>
      <c r="J18" s="9" t="s">
        <v>14</v>
      </c>
      <c r="K18" s="9" t="s">
        <v>14</v>
      </c>
      <c r="L18" s="9" t="s">
        <v>14</v>
      </c>
      <c r="M18" s="9" t="s">
        <v>14</v>
      </c>
      <c r="N18" s="9" t="s">
        <v>14</v>
      </c>
      <c r="O18" s="9" t="s">
        <v>14</v>
      </c>
      <c r="P18" s="9" t="s">
        <v>14</v>
      </c>
      <c r="Q18" s="9" t="s">
        <v>14</v>
      </c>
      <c r="R18" s="9" t="s">
        <v>14</v>
      </c>
      <c r="S18" s="9" t="s">
        <v>14</v>
      </c>
      <c r="T18" s="9" t="s">
        <v>14</v>
      </c>
      <c r="U18" s="9" t="s">
        <v>14</v>
      </c>
      <c r="V18" s="9" t="s">
        <v>14</v>
      </c>
      <c r="W18" s="9" t="s">
        <v>14</v>
      </c>
      <c r="X18" s="10">
        <f t="shared" si="0"/>
        <v>6</v>
      </c>
    </row>
    <row r="19" spans="1:24" ht="18.75" customHeight="1" x14ac:dyDescent="0.3">
      <c r="A19" s="5" t="s">
        <v>30</v>
      </c>
      <c r="B19" s="6">
        <v>1</v>
      </c>
      <c r="C19" s="7"/>
      <c r="D19" s="8" t="s">
        <v>14</v>
      </c>
      <c r="E19" s="9" t="s">
        <v>14</v>
      </c>
      <c r="F19" s="9" t="s">
        <v>14</v>
      </c>
      <c r="G19" s="9" t="s">
        <v>14</v>
      </c>
      <c r="H19" s="9" t="s">
        <v>14</v>
      </c>
      <c r="I19" s="9" t="s">
        <v>14</v>
      </c>
      <c r="J19" s="9" t="s">
        <v>14</v>
      </c>
      <c r="K19" s="9" t="s">
        <v>14</v>
      </c>
      <c r="L19" s="9" t="s">
        <v>14</v>
      </c>
      <c r="M19" s="9" t="s">
        <v>14</v>
      </c>
      <c r="N19" s="9" t="s">
        <v>14</v>
      </c>
      <c r="O19" s="9" t="s">
        <v>14</v>
      </c>
      <c r="P19" s="9" t="s">
        <v>14</v>
      </c>
      <c r="Q19" s="9" t="s">
        <v>14</v>
      </c>
      <c r="R19" s="9" t="s">
        <v>14</v>
      </c>
      <c r="S19" s="9" t="s">
        <v>14</v>
      </c>
      <c r="T19" s="9" t="s">
        <v>14</v>
      </c>
      <c r="U19" s="9" t="s">
        <v>14</v>
      </c>
      <c r="V19" s="9" t="s">
        <v>14</v>
      </c>
      <c r="W19" s="9" t="s">
        <v>14</v>
      </c>
      <c r="X19" s="10">
        <f t="shared" si="0"/>
        <v>6</v>
      </c>
    </row>
    <row r="20" spans="1:24" ht="18.75" customHeight="1" x14ac:dyDescent="0.3">
      <c r="A20" s="5" t="s">
        <v>31</v>
      </c>
      <c r="B20" s="6">
        <v>3</v>
      </c>
      <c r="C20" s="7"/>
      <c r="D20" s="8" t="s">
        <v>14</v>
      </c>
      <c r="E20" s="9" t="s">
        <v>14</v>
      </c>
      <c r="F20" s="9" t="s">
        <v>14</v>
      </c>
      <c r="G20" s="9" t="s">
        <v>14</v>
      </c>
      <c r="H20" s="9" t="s">
        <v>14</v>
      </c>
      <c r="I20" s="9" t="s">
        <v>14</v>
      </c>
      <c r="J20" s="9" t="s">
        <v>14</v>
      </c>
      <c r="K20" s="9" t="s">
        <v>14</v>
      </c>
      <c r="L20" s="9" t="s">
        <v>14</v>
      </c>
      <c r="M20" s="9" t="s">
        <v>14</v>
      </c>
      <c r="N20" s="9" t="s">
        <v>14</v>
      </c>
      <c r="O20" s="9" t="s">
        <v>14</v>
      </c>
      <c r="P20" s="9" t="s">
        <v>14</v>
      </c>
      <c r="Q20" s="9" t="s">
        <v>14</v>
      </c>
      <c r="R20" s="9" t="s">
        <v>14</v>
      </c>
      <c r="S20" s="9" t="s">
        <v>14</v>
      </c>
      <c r="T20" s="9" t="s">
        <v>14</v>
      </c>
      <c r="U20" s="9" t="s">
        <v>14</v>
      </c>
      <c r="V20" s="9" t="s">
        <v>14</v>
      </c>
      <c r="W20" s="9" t="s">
        <v>14</v>
      </c>
      <c r="X20" s="10">
        <f t="shared" si="0"/>
        <v>6</v>
      </c>
    </row>
    <row r="21" spans="1:24" ht="18.75" customHeight="1" x14ac:dyDescent="0.3">
      <c r="A21" s="5" t="s">
        <v>32</v>
      </c>
      <c r="B21" s="6">
        <v>1</v>
      </c>
      <c r="C21" s="7"/>
      <c r="D21" s="8" t="s">
        <v>14</v>
      </c>
      <c r="E21" s="9" t="s">
        <v>14</v>
      </c>
      <c r="F21" s="9" t="s">
        <v>14</v>
      </c>
      <c r="G21" s="9" t="s">
        <v>14</v>
      </c>
      <c r="H21" s="9" t="s">
        <v>14</v>
      </c>
      <c r="I21" s="9" t="s">
        <v>14</v>
      </c>
      <c r="J21" s="9" t="s">
        <v>14</v>
      </c>
      <c r="K21" s="9" t="s">
        <v>14</v>
      </c>
      <c r="L21" s="9" t="s">
        <v>14</v>
      </c>
      <c r="M21" s="9" t="s">
        <v>14</v>
      </c>
      <c r="N21" s="9" t="s">
        <v>14</v>
      </c>
      <c r="O21" s="9" t="s">
        <v>14</v>
      </c>
      <c r="P21" s="9" t="s">
        <v>14</v>
      </c>
      <c r="Q21" s="9" t="s">
        <v>14</v>
      </c>
      <c r="R21" s="9" t="s">
        <v>14</v>
      </c>
      <c r="S21" s="9" t="s">
        <v>14</v>
      </c>
      <c r="T21" s="9" t="s">
        <v>14</v>
      </c>
      <c r="U21" s="9" t="s">
        <v>14</v>
      </c>
      <c r="V21" s="9" t="s">
        <v>14</v>
      </c>
      <c r="W21" s="9" t="s">
        <v>14</v>
      </c>
      <c r="X21" s="10">
        <f t="shared" si="0"/>
        <v>6</v>
      </c>
    </row>
    <row r="22" spans="1:24" ht="18.75" customHeight="1" x14ac:dyDescent="0.3">
      <c r="A22" s="5" t="s">
        <v>33</v>
      </c>
      <c r="B22" s="6">
        <v>2</v>
      </c>
      <c r="C22" s="7" t="s">
        <v>14</v>
      </c>
      <c r="D22" s="8" t="s">
        <v>14</v>
      </c>
      <c r="E22" s="9" t="s">
        <v>14</v>
      </c>
      <c r="F22" s="9" t="s">
        <v>14</v>
      </c>
      <c r="G22" s="9" t="s">
        <v>14</v>
      </c>
      <c r="H22" s="9" t="s">
        <v>14</v>
      </c>
      <c r="I22" s="9" t="s">
        <v>14</v>
      </c>
      <c r="J22" s="9" t="s">
        <v>14</v>
      </c>
      <c r="K22" s="9" t="s">
        <v>14</v>
      </c>
      <c r="L22" s="9" t="s">
        <v>14</v>
      </c>
      <c r="M22" s="9" t="s">
        <v>14</v>
      </c>
      <c r="N22" s="9" t="s">
        <v>14</v>
      </c>
      <c r="O22" s="9" t="s">
        <v>14</v>
      </c>
      <c r="P22" s="9" t="s">
        <v>14</v>
      </c>
      <c r="Q22" s="9" t="s">
        <v>14</v>
      </c>
      <c r="R22" s="9" t="s">
        <v>14</v>
      </c>
      <c r="S22" s="9" t="s">
        <v>14</v>
      </c>
      <c r="T22" s="9" t="s">
        <v>14</v>
      </c>
      <c r="U22" s="9" t="s">
        <v>14</v>
      </c>
      <c r="V22" s="9" t="s">
        <v>14</v>
      </c>
      <c r="W22" s="9" t="s">
        <v>14</v>
      </c>
      <c r="X22" s="10">
        <f t="shared" si="0"/>
        <v>7</v>
      </c>
    </row>
    <row r="23" spans="1:24" ht="18.75" customHeight="1" x14ac:dyDescent="0.3">
      <c r="A23" s="5" t="s">
        <v>34</v>
      </c>
      <c r="B23" s="6">
        <v>4</v>
      </c>
      <c r="C23" s="7"/>
      <c r="D23" s="8"/>
      <c r="E23" s="9"/>
      <c r="F23" s="9"/>
      <c r="G23" s="9"/>
      <c r="H23" s="9" t="s">
        <v>14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>
        <f t="shared" si="0"/>
        <v>0</v>
      </c>
    </row>
    <row r="24" spans="1:24" ht="18.75" customHeight="1" x14ac:dyDescent="0.3">
      <c r="A24" s="5" t="s">
        <v>35</v>
      </c>
      <c r="B24" s="6">
        <v>1</v>
      </c>
      <c r="C24" s="7"/>
      <c r="D24" s="8"/>
      <c r="E24" s="9"/>
      <c r="F24" s="9"/>
      <c r="G24" s="9"/>
      <c r="H24" s="9" t="s">
        <v>14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>
        <f t="shared" si="0"/>
        <v>0</v>
      </c>
    </row>
    <row r="25" spans="1:24" ht="18.75" customHeight="1" x14ac:dyDescent="0.3">
      <c r="A25" s="5" t="s">
        <v>36</v>
      </c>
      <c r="B25" s="6">
        <v>5</v>
      </c>
      <c r="C25" s="7"/>
      <c r="D25" s="8"/>
      <c r="E25" s="9"/>
      <c r="F25" s="9"/>
      <c r="G25" s="9"/>
      <c r="H25" s="9" t="s">
        <v>14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>
        <f t="shared" si="0"/>
        <v>0</v>
      </c>
    </row>
    <row r="26" spans="1:24" ht="18.75" customHeight="1" x14ac:dyDescent="0.3">
      <c r="A26" s="5" t="s">
        <v>37</v>
      </c>
      <c r="B26" s="6">
        <v>2</v>
      </c>
      <c r="C26" s="7"/>
      <c r="D26" s="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 t="s">
        <v>14</v>
      </c>
      <c r="U26" s="9"/>
      <c r="V26" s="9"/>
      <c r="W26" s="9" t="s">
        <v>14</v>
      </c>
      <c r="X26" s="10">
        <f t="shared" si="0"/>
        <v>0</v>
      </c>
    </row>
    <row r="27" spans="1:24" ht="18.75" customHeight="1" x14ac:dyDescent="0.3">
      <c r="A27" s="5" t="s">
        <v>38</v>
      </c>
      <c r="B27" s="6">
        <v>4</v>
      </c>
      <c r="C27" s="7"/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 t="s">
        <v>14</v>
      </c>
      <c r="V27" s="9"/>
      <c r="W27" s="9" t="s">
        <v>14</v>
      </c>
      <c r="X27" s="10">
        <f t="shared" si="0"/>
        <v>0</v>
      </c>
    </row>
    <row r="28" spans="1:24" ht="18.75" customHeight="1" x14ac:dyDescent="0.3">
      <c r="A28" s="5" t="s">
        <v>39</v>
      </c>
      <c r="B28" s="6">
        <v>1</v>
      </c>
      <c r="C28" s="7"/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 t="s">
        <v>14</v>
      </c>
      <c r="V28" s="9"/>
      <c r="W28" s="9" t="s">
        <v>14</v>
      </c>
      <c r="X28" s="10">
        <f t="shared" si="0"/>
        <v>0</v>
      </c>
    </row>
    <row r="29" spans="1:24" ht="18.75" customHeight="1" x14ac:dyDescent="0.3"/>
    <row r="30" spans="1:24" ht="18.75" customHeight="1" x14ac:dyDescent="0.3"/>
    <row r="31" spans="1:24" ht="18.75" customHeight="1" x14ac:dyDescent="0.3">
      <c r="B31" s="14" t="s">
        <v>40</v>
      </c>
      <c r="C31" s="15">
        <f>COUNTIF(X:X, "&gt;= 0")</f>
        <v>26</v>
      </c>
      <c r="D31" s="16"/>
    </row>
    <row r="32" spans="1:24" ht="18.75" customHeight="1" x14ac:dyDescent="0.3">
      <c r="B32" s="14" t="s">
        <v>41</v>
      </c>
      <c r="C32" s="15">
        <f>COUNTIF(X:X,"=7")</f>
        <v>7</v>
      </c>
      <c r="D32" s="17">
        <f>C32/$C$31</f>
        <v>0.26923076923076922</v>
      </c>
    </row>
    <row r="33" spans="2:4" ht="18.75" customHeight="1" x14ac:dyDescent="0.3">
      <c r="B33" s="14" t="s">
        <v>42</v>
      </c>
      <c r="C33" s="15">
        <f>COUNTIF(X:X,"&gt;=1")</f>
        <v>20</v>
      </c>
      <c r="D33" s="17">
        <f>C33/$C$31</f>
        <v>0.76923076923076927</v>
      </c>
    </row>
    <row r="34" spans="2:4" ht="18.75" customHeight="1" x14ac:dyDescent="0.3">
      <c r="B34" s="14" t="s">
        <v>43</v>
      </c>
      <c r="C34" s="15">
        <f>COUNTIF(X:X,"=0")</f>
        <v>6</v>
      </c>
      <c r="D34" s="17">
        <f>C34/$C$31</f>
        <v>0.23076923076923078</v>
      </c>
    </row>
    <row r="35" spans="2:4" ht="18.75" customHeight="1" x14ac:dyDescent="0.3">
      <c r="B35" s="14" t="s">
        <v>44</v>
      </c>
      <c r="C35" s="15">
        <f>C31-C34</f>
        <v>20</v>
      </c>
      <c r="D35" s="17">
        <f>C35/$C$31</f>
        <v>0.76923076923076927</v>
      </c>
    </row>
  </sheetData>
  <mergeCells count="9">
    <mergeCell ref="L1:N1"/>
    <mergeCell ref="O1:Q1"/>
    <mergeCell ref="R1:T1"/>
    <mergeCell ref="U1:W1"/>
    <mergeCell ref="A1:A2"/>
    <mergeCell ref="B1:B2"/>
    <mergeCell ref="C1:E1"/>
    <mergeCell ref="F1:H1"/>
    <mergeCell ref="I1:K1"/>
  </mergeCells>
  <conditionalFormatting sqref="X3:X28">
    <cfRule type="cellIs" dxfId="0" priority="3" operator="greaterThan">
      <formula>5</formula>
    </cfRule>
    <cfRule type="cellIs" dxfId="1" priority="2" operator="between">
      <formula>2</formula>
      <formula>5</formula>
    </cfRule>
    <cfRule type="cellIs" dxfId="2" priority="1" operator="lessThan">
      <formula>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Максим Михайлич</cp:lastModifiedBy>
  <dcterms:created xsi:type="dcterms:W3CDTF">2024-10-09T11:46:06Z</dcterms:created>
  <dcterms:modified xsi:type="dcterms:W3CDTF">2024-10-16T16:44:11Z</dcterms:modified>
</cp:coreProperties>
</file>